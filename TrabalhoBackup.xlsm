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Kaique\Desktop\Escola\fatec\Trabalho VBA\"/>
    </mc:Choice>
  </mc:AlternateContent>
  <xr:revisionPtr revIDLastSave="0" documentId="13_ncr:1_{81DC874E-0380-4D63-856E-F78E813E1919}" xr6:coauthVersionLast="47" xr6:coauthVersionMax="47" xr10:uidLastSave="{00000000-0000-0000-0000-000000000000}"/>
  <bookViews>
    <workbookView xWindow="-120" yWindow="-120" windowWidth="29040" windowHeight="15840" activeTab="2" xr2:uid="{57C302B0-BE9F-46E6-9E57-FFDB844E3835}"/>
  </bookViews>
  <sheets>
    <sheet name="Dados" sheetId="1" r:id="rId1"/>
    <sheet name="Auxiliar" sheetId="3" state="hidden" r:id="rId2"/>
    <sheet name="Dashboard" sheetId="2" r:id="rId3"/>
  </sheets>
  <definedNames>
    <definedName name="matriz">Dados!$D:$G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3" l="1"/>
  <c r="M5" i="3"/>
  <c r="M6" i="3"/>
  <c r="M7" i="3"/>
  <c r="M8" i="3"/>
  <c r="M9" i="3"/>
  <c r="M10" i="3"/>
  <c r="M11" i="3"/>
  <c r="M12" i="3"/>
  <c r="L4" i="3"/>
  <c r="L5" i="3"/>
  <c r="L6" i="3"/>
  <c r="L7" i="3"/>
  <c r="L8" i="3"/>
  <c r="L9" i="3"/>
  <c r="L10" i="3"/>
  <c r="L11" i="3"/>
  <c r="L12" i="3"/>
  <c r="M3" i="3"/>
  <c r="L3" i="3"/>
  <c r="I4" i="3"/>
  <c r="I5" i="3"/>
  <c r="I6" i="3"/>
  <c r="I7" i="3"/>
  <c r="I8" i="3"/>
  <c r="I9" i="3"/>
  <c r="I10" i="3"/>
  <c r="I11" i="3"/>
  <c r="I3" i="3"/>
  <c r="E3" i="3" a="1"/>
  <c r="E3" i="3" s="1"/>
  <c r="B3" i="3" a="1"/>
  <c r="B3" i="3" s="1"/>
  <c r="E24" i="3" s="1"/>
  <c r="F30" i="3" l="1"/>
  <c r="F27" i="3"/>
  <c r="F26" i="3"/>
  <c r="F31" i="3"/>
  <c r="F29" i="3"/>
  <c r="F25" i="3"/>
  <c r="F23" i="3"/>
  <c r="F28" i="3"/>
  <c r="F24" i="3"/>
  <c r="D23" i="3"/>
  <c r="D24" i="3"/>
  <c r="D30" i="3"/>
  <c r="E31" i="3"/>
  <c r="D28" i="3"/>
  <c r="E29" i="3"/>
  <c r="D26" i="3"/>
  <c r="E27" i="3"/>
  <c r="D29" i="3"/>
  <c r="D25" i="3"/>
  <c r="E30" i="3"/>
  <c r="E26" i="3"/>
  <c r="E25" i="3"/>
  <c r="D31" i="3"/>
  <c r="D27" i="3"/>
  <c r="E23" i="3"/>
  <c r="E28" i="3"/>
  <c r="C31" i="3"/>
  <c r="C27" i="3"/>
  <c r="C23" i="3"/>
  <c r="C25" i="3"/>
  <c r="C24" i="3"/>
  <c r="C30" i="3"/>
  <c r="C26" i="3"/>
  <c r="B7" i="3"/>
  <c r="C29" i="3"/>
  <c r="B6" i="3"/>
  <c r="C28" i="3"/>
  <c r="B5" i="3"/>
  <c r="E5" i="3" l="1"/>
  <c r="E7" i="3"/>
  <c r="E8" i="3"/>
  <c r="D2" i="2" s="1"/>
  <c r="E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<sst xmlns="http://schemas.openxmlformats.org/spreadsheetml/2006/main" count="219" uniqueCount="46">
  <si>
    <t>TIMES</t>
  </si>
  <si>
    <t>Team Liquid</t>
  </si>
  <si>
    <t>Faze Clan</t>
  </si>
  <si>
    <t>Fluxo</t>
  </si>
  <si>
    <t>Black Dragons</t>
  </si>
  <si>
    <t>E1 Sports</t>
  </si>
  <si>
    <t>Furia</t>
  </si>
  <si>
    <t>MIBR</t>
  </si>
  <si>
    <t>Ninjas in Pyjamas</t>
  </si>
  <si>
    <t>Vivo Keyd Stars</t>
  </si>
  <si>
    <t>W7M Sports</t>
  </si>
  <si>
    <t>MAPAS</t>
  </si>
  <si>
    <t>Banco</t>
  </si>
  <si>
    <t>Chale</t>
  </si>
  <si>
    <t>Oregon</t>
  </si>
  <si>
    <t>Consulado</t>
  </si>
  <si>
    <t>Kafe</t>
  </si>
  <si>
    <t>Clube</t>
  </si>
  <si>
    <t>Arranha-Ceu</t>
  </si>
  <si>
    <t>Fronteira</t>
  </si>
  <si>
    <t>Laboratorio</t>
  </si>
  <si>
    <t>TIME</t>
  </si>
  <si>
    <t>MAPA</t>
  </si>
  <si>
    <t>VITORIA</t>
  </si>
  <si>
    <t>PRORROGAÇÃO</t>
  </si>
  <si>
    <t>Sim</t>
  </si>
  <si>
    <t>Não</t>
  </si>
  <si>
    <t>ANÁLISE DE DESEMPENHO</t>
  </si>
  <si>
    <t>Itens Selecionados</t>
  </si>
  <si>
    <t>Time</t>
  </si>
  <si>
    <t>Nome:</t>
  </si>
  <si>
    <t>Vitorias</t>
  </si>
  <si>
    <t>Vitorias:</t>
  </si>
  <si>
    <t>Índice:</t>
  </si>
  <si>
    <t>Prorrogações</t>
  </si>
  <si>
    <t>Prorrogações:</t>
  </si>
  <si>
    <t>Derrotas:</t>
  </si>
  <si>
    <t xml:space="preserve">Dados Gerais </t>
  </si>
  <si>
    <t>Mapas</t>
  </si>
  <si>
    <t>Vezes Jogados</t>
  </si>
  <si>
    <t>Derrotas</t>
  </si>
  <si>
    <t>Mapa Desejado</t>
  </si>
  <si>
    <t>Vezes Jogado:</t>
  </si>
  <si>
    <t>Mapas Mais jogado</t>
  </si>
  <si>
    <t>Vezes Jogado</t>
  </si>
  <si>
    <t>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</si>
</sst>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2"/>
      <name val="Arial"/>
      <family val="2"/>
    </font>
    <font>
      <b/>
      <sz val="11"/>
      <color theme="1"/>
      <name val="Aptos Narrow"/>
      <family val="2"/>
      <scheme val="minor"/>
    </font>
    <font>
      <b/>
      <sz val="12"/>
      <color theme="0"/>
      <name val="Arial"/>
      <family val="2"/>
    </font>
    <font>
      <b/>
      <sz val="22"/>
      <color theme="0"/>
      <name val="Arial"/>
      <family val="2"/>
    </font>
    <font>
      <sz val="11"/>
      <color theme="7" tint="-0.249977111117893"/>
      <name val="Aptos Narrow"/>
      <family val="2"/>
      <scheme val="minor"/>
    </font>
    <font>
      <b/>
      <sz val="12"/>
      <name val="Arial"/>
      <family val="2"/>
    </font>
    <font>
      <b/>
      <sz val="12"/>
      <color theme="1"/>
      <name val="Aptos Narrow"/>
      <family val="2"/>
      <scheme val="minor"/>
    </font>
    <font>
      <sz val="11"/>
      <color theme="9" tint="0.3999755851924192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4" borderId="0" xfId="0" applyFill="1"/>
    <xf numFmtId="0" fontId="6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0" fillId="8" borderId="0" xfId="0" applyFill="1"/>
    <xf numFmtId="0" fontId="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5" borderId="0" xfId="0" applyFont="1" applyFill="1"/>
    <xf numFmtId="0" fontId="9" fillId="0" borderId="0" xfId="0" applyFont="1" applyAlignment="1">
      <alignment horizontal="center"/>
    </xf>
    <xf numFmtId="0" fontId="8" fillId="8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0" fillId="8" borderId="0" xfId="0" applyFont="1" applyFill="1"/>
    <xf numFmtId="0" fontId="1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</c:f>
          <c:strCache>
            <c:ptCount val="1"/>
            <c:pt idx="0">
              <c:v>Ninjas in Pyjamas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70-44DF-B062-C0E0DF33D3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70-44DF-B062-C0E0DF33D353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Auxiliar!$A$5:$A$6</c:f>
              <c:strCache>
                <c:ptCount val="2"/>
                <c:pt idx="0">
                  <c:v>Vitorias:</c:v>
                </c:pt>
                <c:pt idx="1">
                  <c:v>Derrotas:</c:v>
                </c:pt>
              </c:strCache>
            </c:strRef>
          </c:cat>
          <c:val>
            <c:numRef>
              <c:f>Auxiliar!$B$5:$B$6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70-44DF-B062-C0E0DF33D35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Mapas Jogados</a:t>
            </a:r>
            <a:r>
              <a:rPr lang="en-US" b="1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pela Equipe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Auxiliar!$C$22</c:f>
              <c:strCache>
                <c:ptCount val="1"/>
                <c:pt idx="0">
                  <c:v>Vezes Jogados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Auxiliar!$B$23:$B$31</c:f>
              <c:strCache>
                <c:ptCount val="9"/>
                <c:pt idx="0">
                  <c:v>Banco</c:v>
                </c:pt>
                <c:pt idx="1">
                  <c:v>Chale</c:v>
                </c:pt>
                <c:pt idx="2">
                  <c:v>Laboratorio</c:v>
                </c:pt>
                <c:pt idx="3">
                  <c:v>Oregon</c:v>
                </c:pt>
                <c:pt idx="4">
                  <c:v>Consulado</c:v>
                </c:pt>
                <c:pt idx="5">
                  <c:v>Kafe</c:v>
                </c:pt>
                <c:pt idx="6">
                  <c:v>Clube</c:v>
                </c:pt>
                <c:pt idx="7">
                  <c:v>Arranha-Ceu</c:v>
                </c:pt>
                <c:pt idx="8">
                  <c:v>Fronteira</c:v>
                </c:pt>
              </c:strCache>
            </c:strRef>
          </c:cat>
          <c:val>
            <c:numRef>
              <c:f>Auxiliar!$C$23:$C$31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79-4D13-8EDF-741C47C31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4508623"/>
        <c:axId val="238423567"/>
      </c:barChart>
      <c:catAx>
        <c:axId val="554508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38423567"/>
        <c:crosses val="autoZero"/>
        <c:auto val="1"/>
        <c:lblAlgn val="ctr"/>
        <c:lblOffset val="100"/>
        <c:noMultiLvlLbl val="0"/>
      </c:catAx>
      <c:valAx>
        <c:axId val="238423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55450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Auxiliar!$E$3</c:f>
          <c:strCache>
            <c:ptCount val="1"/>
            <c:pt idx="0">
              <c:v>Fronteira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Auxiliar!$D$5:$D$7</c:f>
              <c:strCache>
                <c:ptCount val="3"/>
                <c:pt idx="0">
                  <c:v>Vitorias:</c:v>
                </c:pt>
                <c:pt idx="1">
                  <c:v>Derrotas:</c:v>
                </c:pt>
                <c:pt idx="2">
                  <c:v>Prorrogações:</c:v>
                </c:pt>
              </c:strCache>
            </c:strRef>
          </c:cat>
          <c:val>
            <c:numRef>
              <c:f>Auxiliar!$E$5:$E$7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4-4193-8DCB-BD7DD3E651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237346031"/>
        <c:axId val="1070160127"/>
        <c:axId val="0"/>
      </c:bar3DChart>
      <c:catAx>
        <c:axId val="23734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0160127"/>
        <c:crosses val="autoZero"/>
        <c:auto val="1"/>
        <c:lblAlgn val="ctr"/>
        <c:lblOffset val="100"/>
        <c:noMultiLvlLbl val="0"/>
      </c:catAx>
      <c:valAx>
        <c:axId val="107016012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37346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600" b="1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Vitorias da Equipe</a:t>
            </a:r>
          </a:p>
          <a:p>
            <a:pPr algn="ctr">
              <a:defRPr sz="16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pt-B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4283599851287067"/>
          <c:y val="2.8179639274223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Auxiliar!$D$22</c:f>
              <c:strCache>
                <c:ptCount val="1"/>
                <c:pt idx="0">
                  <c:v>Vitorias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Auxiliar!$B$23:$B$31</c:f>
              <c:strCache>
                <c:ptCount val="9"/>
                <c:pt idx="0">
                  <c:v>Banco</c:v>
                </c:pt>
                <c:pt idx="1">
                  <c:v>Chale</c:v>
                </c:pt>
                <c:pt idx="2">
                  <c:v>Laboratorio</c:v>
                </c:pt>
                <c:pt idx="3">
                  <c:v>Oregon</c:v>
                </c:pt>
                <c:pt idx="4">
                  <c:v>Consulado</c:v>
                </c:pt>
                <c:pt idx="5">
                  <c:v>Kafe</c:v>
                </c:pt>
                <c:pt idx="6">
                  <c:v>Clube</c:v>
                </c:pt>
                <c:pt idx="7">
                  <c:v>Arranha-Ceu</c:v>
                </c:pt>
                <c:pt idx="8">
                  <c:v>Fronteira</c:v>
                </c:pt>
              </c:strCache>
            </c:strRef>
          </c:cat>
          <c:val>
            <c:numRef>
              <c:f>Auxiliar!$D$23:$D$31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B85-84EB-4E320F600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0340175"/>
        <c:axId val="1020344495"/>
      </c:barChart>
      <c:catAx>
        <c:axId val="10203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020344495"/>
        <c:crosses val="autoZero"/>
        <c:auto val="1"/>
        <c:lblAlgn val="ctr"/>
        <c:lblOffset val="100"/>
        <c:noMultiLvlLbl val="0"/>
      </c:catAx>
      <c:valAx>
        <c:axId val="102034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034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Derrotas da Equipe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Auxiliar!$E$22</c:f>
              <c:strCache>
                <c:ptCount val="1"/>
                <c:pt idx="0">
                  <c:v>Derrotas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Auxiliar!$B$23:$B$31</c:f>
              <c:strCache>
                <c:ptCount val="9"/>
                <c:pt idx="0">
                  <c:v>Banco</c:v>
                </c:pt>
                <c:pt idx="1">
                  <c:v>Chale</c:v>
                </c:pt>
                <c:pt idx="2">
                  <c:v>Laboratorio</c:v>
                </c:pt>
                <c:pt idx="3">
                  <c:v>Oregon</c:v>
                </c:pt>
                <c:pt idx="4">
                  <c:v>Consulado</c:v>
                </c:pt>
                <c:pt idx="5">
                  <c:v>Kafe</c:v>
                </c:pt>
                <c:pt idx="6">
                  <c:v>Clube</c:v>
                </c:pt>
                <c:pt idx="7">
                  <c:v>Arranha-Ceu</c:v>
                </c:pt>
                <c:pt idx="8">
                  <c:v>Fronteira</c:v>
                </c:pt>
              </c:strCache>
            </c:strRef>
          </c:cat>
          <c:val>
            <c:numRef>
              <c:f>Auxiliar!$E$23:$E$31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B-4C2F-85DA-1EDC15B1F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0334815"/>
        <c:axId val="1020337695"/>
      </c:barChart>
      <c:catAx>
        <c:axId val="102033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020337695"/>
        <c:crosses val="autoZero"/>
        <c:auto val="1"/>
        <c:lblAlgn val="ctr"/>
        <c:lblOffset val="100"/>
        <c:noMultiLvlLbl val="0"/>
      </c:catAx>
      <c:valAx>
        <c:axId val="1020337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033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Mapas mais Jogados</a:t>
            </a:r>
            <a:r>
              <a:rPr lang="pt-BR" b="1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entre as equipes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Auxiliar!$I$2</c:f>
              <c:strCache>
                <c:ptCount val="1"/>
                <c:pt idx="0">
                  <c:v>Vezes Jogado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Auxiliar!$H$3:$H$11</c:f>
              <c:strCache>
                <c:ptCount val="9"/>
                <c:pt idx="0">
                  <c:v>Banco</c:v>
                </c:pt>
                <c:pt idx="1">
                  <c:v>Chale</c:v>
                </c:pt>
                <c:pt idx="2">
                  <c:v>Laboratorio</c:v>
                </c:pt>
                <c:pt idx="3">
                  <c:v>Oregon</c:v>
                </c:pt>
                <c:pt idx="4">
                  <c:v>Consulado</c:v>
                </c:pt>
                <c:pt idx="5">
                  <c:v>Kafe</c:v>
                </c:pt>
                <c:pt idx="6">
                  <c:v>Clube</c:v>
                </c:pt>
                <c:pt idx="7">
                  <c:v>Arranha-Ceu</c:v>
                </c:pt>
                <c:pt idx="8">
                  <c:v>Fronteira</c:v>
                </c:pt>
              </c:strCache>
            </c:strRef>
          </c:cat>
          <c:val>
            <c:numRef>
              <c:f>Auxiliar!$I$3:$I$11</c:f>
              <c:numCache>
                <c:formatCode>General</c:formatCode>
                <c:ptCount val="9"/>
                <c:pt idx="0">
                  <c:v>5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2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5-4993-A22A-B13B08B36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0162047"/>
        <c:axId val="1070163007"/>
      </c:barChart>
      <c:catAx>
        <c:axId val="1070162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070163007"/>
        <c:crosses val="autoZero"/>
        <c:auto val="1"/>
        <c:lblAlgn val="ctr"/>
        <c:lblOffset val="100"/>
        <c:noMultiLvlLbl val="0"/>
      </c:catAx>
      <c:valAx>
        <c:axId val="107016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070162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Análise</a:t>
            </a:r>
            <a:r>
              <a:rPr lang="pt-BR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Vitórias e Derrotas das Equipes</a:t>
            </a:r>
            <a:endParaRPr lang="pt-BR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Auxiliar!$L$2</c:f>
              <c:strCache>
                <c:ptCount val="1"/>
                <c:pt idx="0">
                  <c:v>Vitorias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Auxiliar!$K$3:$K$12</c:f>
              <c:strCache>
                <c:ptCount val="10"/>
                <c:pt idx="0">
                  <c:v>Team Liquid</c:v>
                </c:pt>
                <c:pt idx="1">
                  <c:v>Faze Clan</c:v>
                </c:pt>
                <c:pt idx="2">
                  <c:v>Fluxo</c:v>
                </c:pt>
                <c:pt idx="3">
                  <c:v>Black Dragons</c:v>
                </c:pt>
                <c:pt idx="4">
                  <c:v>E1 Sports</c:v>
                </c:pt>
                <c:pt idx="5">
                  <c:v>Furia</c:v>
                </c:pt>
                <c:pt idx="6">
                  <c:v>MIBR</c:v>
                </c:pt>
                <c:pt idx="7">
                  <c:v>Ninjas in Pyjamas</c:v>
                </c:pt>
                <c:pt idx="8">
                  <c:v>Vivo Keyd Stars</c:v>
                </c:pt>
                <c:pt idx="9">
                  <c:v>W7M Sports</c:v>
                </c:pt>
              </c:strCache>
            </c:strRef>
          </c:cat>
          <c:val>
            <c:numRef>
              <c:f>Auxiliar!$L$3:$L$12</c:f>
              <c:numCache>
                <c:formatCode>General</c:formatCode>
                <c:ptCount val="10"/>
                <c:pt idx="0">
                  <c:v>6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B-4141-861E-03FFAE48F812}"/>
            </c:ext>
          </c:extLst>
        </c:ser>
        <c:ser>
          <c:idx val="1"/>
          <c:order val="1"/>
          <c:tx>
            <c:strRef>
              <c:f>Auxiliar!$M$2</c:f>
              <c:strCache>
                <c:ptCount val="1"/>
                <c:pt idx="0">
                  <c:v>Derrotas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Auxiliar!$K$3:$K$12</c:f>
              <c:strCache>
                <c:ptCount val="10"/>
                <c:pt idx="0">
                  <c:v>Team Liquid</c:v>
                </c:pt>
                <c:pt idx="1">
                  <c:v>Faze Clan</c:v>
                </c:pt>
                <c:pt idx="2">
                  <c:v>Fluxo</c:v>
                </c:pt>
                <c:pt idx="3">
                  <c:v>Black Dragons</c:v>
                </c:pt>
                <c:pt idx="4">
                  <c:v>E1 Sports</c:v>
                </c:pt>
                <c:pt idx="5">
                  <c:v>Furia</c:v>
                </c:pt>
                <c:pt idx="6">
                  <c:v>MIBR</c:v>
                </c:pt>
                <c:pt idx="7">
                  <c:v>Ninjas in Pyjamas</c:v>
                </c:pt>
                <c:pt idx="8">
                  <c:v>Vivo Keyd Stars</c:v>
                </c:pt>
                <c:pt idx="9">
                  <c:v>W7M Sports</c:v>
                </c:pt>
              </c:strCache>
            </c:strRef>
          </c:cat>
          <c:val>
            <c:numRef>
              <c:f>Auxiliar!$M$3:$M$12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B-4141-861E-03FFAE48F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07647"/>
        <c:axId val="88309567"/>
      </c:barChart>
      <c:catAx>
        <c:axId val="8830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8309567"/>
        <c:crosses val="autoZero"/>
        <c:auto val="1"/>
        <c:lblAlgn val="ctr"/>
        <c:lblOffset val="100"/>
        <c:noMultiLvlLbl val="0"/>
      </c:catAx>
      <c:valAx>
        <c:axId val="8830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830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Auxiliar!$E$4" fmlaRange="Dados!$B$2:$B$10" noThreeD="1" sel="9" val="0"/>
</file>

<file path=xl/ctrlProps/ctrlProp2.xml><?xml version="1.0" encoding="utf-8"?>
<formControlPr xmlns="http://schemas.microsoft.com/office/spreadsheetml/2009/9/main" objectType="Drop" dropStyle="combo" dx="22" fmlaLink="Auxiliar!$B$4" fmlaRange="Dados!$A$2:$A$11" noThreeD="1" sel="8" val="2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85725</xdr:rowOff>
        </xdr:from>
        <xdr:to>
          <xdr:col>8</xdr:col>
          <xdr:colOff>1428750</xdr:colOff>
          <xdr:row>3</xdr:row>
          <xdr:rowOff>142875</xdr:rowOff>
        </xdr:to>
        <xdr:sp macro="" textlink="">
          <xdr:nvSpPr>
            <xdr:cNvPr id="1025" name="btnShow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2</xdr:row>
      <xdr:rowOff>4762</xdr:rowOff>
    </xdr:from>
    <xdr:to>
      <xdr:col>0</xdr:col>
      <xdr:colOff>5657850</xdr:colOff>
      <xdr:row>16</xdr:row>
      <xdr:rowOff>80962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852487</xdr:colOff>
      <xdr:row>16</xdr:row>
      <xdr:rowOff>176211</xdr:rowOff>
    </xdr:from>
    <xdr:to>
      <xdr:col>0</xdr:col>
      <xdr:colOff>5972175</xdr:colOff>
      <xdr:row>34</xdr:row>
      <xdr:rowOff>85724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28575</xdr:rowOff>
        </xdr:from>
        <xdr:to>
          <xdr:col>11</xdr:col>
          <xdr:colOff>342901</xdr:colOff>
          <xdr:row>0</xdr:row>
          <xdr:rowOff>457200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6061542</xdr:colOff>
      <xdr:row>2</xdr:row>
      <xdr:rowOff>76479</xdr:rowOff>
    </xdr:from>
    <xdr:to>
      <xdr:col>4</xdr:col>
      <xdr:colOff>752475</xdr:colOff>
      <xdr:row>16</xdr:row>
      <xdr:rowOff>152679</xdr:rowOff>
    </xdr:to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6058461</xdr:colOff>
      <xdr:row>16</xdr:row>
      <xdr:rowOff>183495</xdr:rowOff>
    </xdr:from>
    <xdr:to>
      <xdr:col>4</xdr:col>
      <xdr:colOff>743511</xdr:colOff>
      <xdr:row>35</xdr:row>
      <xdr:rowOff>159684</xdr:rowOff>
    </xdr:to>
    <xdr:graphicFrame macro="">
      <xdr:nvGraphicFramePr>
        <xdr:cNvPr id="6" name="Gráfico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880741</xdr:colOff>
      <xdr:row>16</xdr:row>
      <xdr:rowOff>150038</xdr:rowOff>
    </xdr:from>
    <xdr:to>
      <xdr:col>10</xdr:col>
      <xdr:colOff>538122</xdr:colOff>
      <xdr:row>35</xdr:row>
      <xdr:rowOff>135751</xdr:rowOff>
    </xdr:to>
    <xdr:graphicFrame macro="">
      <xdr:nvGraphicFramePr>
        <xdr:cNvPr id="7" name="Gráfico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834559</xdr:colOff>
      <xdr:row>1</xdr:row>
      <xdr:rowOff>112060</xdr:rowOff>
    </xdr:from>
    <xdr:to>
      <xdr:col>12</xdr:col>
      <xdr:colOff>11206</xdr:colOff>
      <xdr:row>16</xdr:row>
      <xdr:rowOff>108977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0</xdr:row>
          <xdr:rowOff>28575</xdr:rowOff>
        </xdr:from>
        <xdr:to>
          <xdr:col>7</xdr:col>
          <xdr:colOff>9524</xdr:colOff>
          <xdr:row>1</xdr:row>
          <xdr:rowOff>9525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118782</xdr:colOff>
      <xdr:row>1</xdr:row>
      <xdr:rowOff>45664</xdr:rowOff>
    </xdr:from>
    <xdr:to>
      <xdr:col>22</xdr:col>
      <xdr:colOff>280148</xdr:colOff>
      <xdr:row>19</xdr:row>
      <xdr:rowOff>156882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68536-05A9-4752-B320-98D7EF9E540D}">
  <sheetPr codeName="Planilha1"/>
  <dimension ref="A1:G36"/>
  <sheetViews>
    <sheetView zoomScaleNormal="100" workbookViewId="0">
      <selection activeCell="A2" sqref="A2:A11"/>
    </sheetView>
  </sheetViews>
  <sheetFormatPr defaultRowHeight="15.75" x14ac:dyDescent="0.25"/>
  <cols>
    <col min="1" max="1" width="27.85546875" style="2" customWidth="1"/>
    <col min="2" max="2" width="27.28515625" style="4" customWidth="1"/>
    <col min="3" max="3" width="27.85546875" customWidth="1"/>
    <col min="4" max="4" width="27.42578125" style="4" customWidth="1"/>
    <col min="5" max="5" width="27.85546875" style="4" customWidth="1"/>
    <col min="6" max="6" width="27.7109375" style="4" customWidth="1"/>
    <col min="7" max="7" width="27.85546875" style="4" customWidth="1"/>
    <col min="8" max="8" width="17.28515625" customWidth="1"/>
    <col min="9" max="9" width="27.7109375" customWidth="1"/>
    <col min="10" max="10" width="18.42578125" customWidth="1"/>
  </cols>
  <sheetData>
    <row r="1" spans="1:7" x14ac:dyDescent="0.25">
      <c r="A1" s="1" t="s">
        <v>0</v>
      </c>
      <c r="B1" s="1" t="s">
        <v>11</v>
      </c>
      <c r="D1" s="5" t="s">
        <v>21</v>
      </c>
      <c r="E1" s="5" t="s">
        <v>22</v>
      </c>
      <c r="F1" s="5" t="s">
        <v>23</v>
      </c>
      <c r="G1" s="5" t="s">
        <v>24</v>
      </c>
    </row>
    <row r="2" spans="1:7" x14ac:dyDescent="0.25">
      <c r="A2" s="3" t="s">
        <v>1</v>
      </c>
      <c r="B2" s="3" t="s">
        <v>12</v>
      </c>
      <c r="D2" s="4" t="s">
        <v>3</v>
      </c>
      <c r="E2" s="4" t="s">
        <v>20</v>
      </c>
      <c r="F2" s="4" t="s">
        <v>25</v>
      </c>
      <c r="G2" s="4" t="s">
        <v>25</v>
      </c>
    </row>
    <row r="3" spans="1:7" x14ac:dyDescent="0.25">
      <c r="A3" s="3" t="s">
        <v>2</v>
      </c>
      <c r="B3" s="3" t="s">
        <v>13</v>
      </c>
      <c r="D3" s="4" t="s">
        <v>3</v>
      </c>
      <c r="E3" s="4" t="s">
        <v>20</v>
      </c>
      <c r="F3" s="4" t="s">
        <v>25</v>
      </c>
      <c r="G3" s="4" t="s">
        <v>26</v>
      </c>
    </row>
    <row r="4" spans="1:7" x14ac:dyDescent="0.25">
      <c r="A4" s="3" t="s">
        <v>3</v>
      </c>
      <c r="B4" s="3" t="s">
        <v>20</v>
      </c>
      <c r="D4" s="4" t="s">
        <v>5</v>
      </c>
      <c r="E4" s="4" t="s">
        <v>20</v>
      </c>
      <c r="F4" s="4" t="s">
        <v>25</v>
      </c>
      <c r="G4" s="4" t="s">
        <v>26</v>
      </c>
    </row>
    <row r="5" spans="1:7" x14ac:dyDescent="0.25">
      <c r="A5" s="3" t="s">
        <v>4</v>
      </c>
      <c r="B5" s="3" t="s">
        <v>14</v>
      </c>
      <c r="D5" s="4" t="s">
        <v>5</v>
      </c>
      <c r="E5" s="4" t="s">
        <v>15</v>
      </c>
      <c r="F5" s="4" t="s">
        <v>26</v>
      </c>
      <c r="G5" s="4" t="s">
        <v>26</v>
      </c>
    </row>
    <row r="6" spans="1:7" x14ac:dyDescent="0.25">
      <c r="A6" s="3" t="s">
        <v>5</v>
      </c>
      <c r="B6" s="3" t="s">
        <v>15</v>
      </c>
      <c r="D6" s="4" t="s">
        <v>5</v>
      </c>
      <c r="E6" s="4" t="s">
        <v>15</v>
      </c>
      <c r="F6" s="4" t="s">
        <v>26</v>
      </c>
      <c r="G6" s="4" t="s">
        <v>26</v>
      </c>
    </row>
    <row r="7" spans="1:7" x14ac:dyDescent="0.25">
      <c r="A7" s="3" t="s">
        <v>6</v>
      </c>
      <c r="B7" s="3" t="s">
        <v>16</v>
      </c>
      <c r="D7" s="4" t="s">
        <v>6</v>
      </c>
      <c r="E7" s="4" t="s">
        <v>20</v>
      </c>
      <c r="F7" s="4" t="s">
        <v>26</v>
      </c>
      <c r="G7" s="4" t="s">
        <v>26</v>
      </c>
    </row>
    <row r="8" spans="1:7" x14ac:dyDescent="0.25">
      <c r="A8" s="3" t="s">
        <v>7</v>
      </c>
      <c r="B8" s="3" t="s">
        <v>17</v>
      </c>
      <c r="D8" s="4" t="s">
        <v>6</v>
      </c>
      <c r="E8" s="4" t="s">
        <v>18</v>
      </c>
      <c r="F8" s="4" t="s">
        <v>25</v>
      </c>
      <c r="G8" s="4" t="s">
        <v>25</v>
      </c>
    </row>
    <row r="9" spans="1:7" x14ac:dyDescent="0.25">
      <c r="A9" s="3" t="s">
        <v>8</v>
      </c>
      <c r="B9" s="3" t="s">
        <v>18</v>
      </c>
      <c r="D9" s="4" t="s">
        <v>6</v>
      </c>
      <c r="E9" s="4" t="s">
        <v>13</v>
      </c>
      <c r="F9" s="4" t="s">
        <v>26</v>
      </c>
      <c r="G9" s="4" t="s">
        <v>25</v>
      </c>
    </row>
    <row r="10" spans="1:7" x14ac:dyDescent="0.25">
      <c r="A10" s="3" t="s">
        <v>9</v>
      </c>
      <c r="B10" s="3" t="s">
        <v>19</v>
      </c>
      <c r="D10" s="4" t="s">
        <v>7</v>
      </c>
      <c r="E10" s="4" t="s">
        <v>19</v>
      </c>
      <c r="F10" s="4" t="s">
        <v>25</v>
      </c>
      <c r="G10" s="4" t="s">
        <v>26</v>
      </c>
    </row>
    <row r="11" spans="1:7" x14ac:dyDescent="0.25">
      <c r="A11" s="3" t="s">
        <v>10</v>
      </c>
      <c r="D11" s="4" t="s">
        <v>7</v>
      </c>
      <c r="E11" s="4" t="s">
        <v>12</v>
      </c>
      <c r="F11" s="4" t="s">
        <v>25</v>
      </c>
      <c r="G11" s="4" t="s">
        <v>26</v>
      </c>
    </row>
    <row r="12" spans="1:7" x14ac:dyDescent="0.25">
      <c r="D12" s="4" t="s">
        <v>7</v>
      </c>
      <c r="E12" s="4" t="s">
        <v>12</v>
      </c>
      <c r="F12" s="4" t="s">
        <v>26</v>
      </c>
      <c r="G12" s="4" t="s">
        <v>26</v>
      </c>
    </row>
    <row r="13" spans="1:7" x14ac:dyDescent="0.25">
      <c r="D13" s="4" t="s">
        <v>9</v>
      </c>
      <c r="E13" s="4" t="s">
        <v>12</v>
      </c>
      <c r="F13" s="4" t="s">
        <v>26</v>
      </c>
      <c r="G13" s="4" t="s">
        <v>26</v>
      </c>
    </row>
    <row r="14" spans="1:7" x14ac:dyDescent="0.25">
      <c r="D14" s="4" t="s">
        <v>9</v>
      </c>
      <c r="E14" s="4" t="s">
        <v>12</v>
      </c>
      <c r="F14" s="4" t="s">
        <v>25</v>
      </c>
      <c r="G14" s="4" t="s">
        <v>25</v>
      </c>
    </row>
    <row r="15" spans="1:7" x14ac:dyDescent="0.25">
      <c r="D15" s="4" t="s">
        <v>9</v>
      </c>
      <c r="E15" s="4" t="s">
        <v>12</v>
      </c>
      <c r="F15" s="4" t="s">
        <v>25</v>
      </c>
      <c r="G15" s="4" t="s">
        <v>25</v>
      </c>
    </row>
    <row r="16" spans="1:7" x14ac:dyDescent="0.25">
      <c r="D16" s="4" t="s">
        <v>9</v>
      </c>
      <c r="E16" s="4" t="s">
        <v>19</v>
      </c>
      <c r="F16" s="4" t="s">
        <v>25</v>
      </c>
      <c r="G16" s="4" t="s">
        <v>25</v>
      </c>
    </row>
    <row r="17" spans="4:7" x14ac:dyDescent="0.25">
      <c r="D17" s="4" t="s">
        <v>1</v>
      </c>
      <c r="E17" s="4" t="s">
        <v>20</v>
      </c>
      <c r="F17" s="4" t="s">
        <v>25</v>
      </c>
      <c r="G17" s="4" t="s">
        <v>26</v>
      </c>
    </row>
    <row r="18" spans="4:7" x14ac:dyDescent="0.25">
      <c r="D18" s="4" t="s">
        <v>1</v>
      </c>
      <c r="E18" s="4" t="s">
        <v>14</v>
      </c>
      <c r="F18" s="4" t="s">
        <v>25</v>
      </c>
      <c r="G18" s="4" t="s">
        <v>26</v>
      </c>
    </row>
    <row r="19" spans="4:7" x14ac:dyDescent="0.25">
      <c r="D19" s="4" t="s">
        <v>1</v>
      </c>
      <c r="E19" s="4" t="s">
        <v>19</v>
      </c>
      <c r="F19" s="4" t="s">
        <v>25</v>
      </c>
      <c r="G19" s="4" t="s">
        <v>26</v>
      </c>
    </row>
    <row r="20" spans="4:7" x14ac:dyDescent="0.25">
      <c r="D20" s="4" t="s">
        <v>1</v>
      </c>
      <c r="E20" s="4" t="s">
        <v>14</v>
      </c>
      <c r="F20" s="4" t="s">
        <v>25</v>
      </c>
      <c r="G20" s="4" t="s">
        <v>26</v>
      </c>
    </row>
    <row r="21" spans="4:7" x14ac:dyDescent="0.25">
      <c r="D21" s="4" t="s">
        <v>2</v>
      </c>
      <c r="E21" s="4" t="s">
        <v>14</v>
      </c>
      <c r="F21" s="4" t="s">
        <v>25</v>
      </c>
      <c r="G21" s="4" t="s">
        <v>26</v>
      </c>
    </row>
    <row r="22" spans="4:7" x14ac:dyDescent="0.25">
      <c r="D22" s="4" t="s">
        <v>2</v>
      </c>
      <c r="E22" s="4" t="s">
        <v>17</v>
      </c>
      <c r="F22" s="4" t="s">
        <v>25</v>
      </c>
      <c r="G22" s="4" t="s">
        <v>26</v>
      </c>
    </row>
    <row r="23" spans="4:7" x14ac:dyDescent="0.25">
      <c r="D23" s="4" t="s">
        <v>2</v>
      </c>
      <c r="E23" s="4" t="s">
        <v>17</v>
      </c>
      <c r="F23" s="4" t="s">
        <v>26</v>
      </c>
      <c r="G23" s="4" t="s">
        <v>25</v>
      </c>
    </row>
    <row r="24" spans="4:7" x14ac:dyDescent="0.25">
      <c r="D24" s="4" t="s">
        <v>6</v>
      </c>
      <c r="E24" s="4" t="s">
        <v>17</v>
      </c>
      <c r="F24" s="4" t="s">
        <v>25</v>
      </c>
      <c r="G24" s="4" t="s">
        <v>25</v>
      </c>
    </row>
    <row r="25" spans="4:7" x14ac:dyDescent="0.25">
      <c r="D25" s="4" t="s">
        <v>4</v>
      </c>
      <c r="E25" s="4" t="s">
        <v>17</v>
      </c>
      <c r="F25" s="4" t="s">
        <v>25</v>
      </c>
      <c r="G25" s="4" t="s">
        <v>25</v>
      </c>
    </row>
    <row r="26" spans="4:7" x14ac:dyDescent="0.25">
      <c r="D26" s="4" t="s">
        <v>4</v>
      </c>
      <c r="E26" s="4" t="s">
        <v>18</v>
      </c>
      <c r="F26" s="4" t="s">
        <v>25</v>
      </c>
      <c r="G26" s="4" t="s">
        <v>25</v>
      </c>
    </row>
    <row r="27" spans="4:7" x14ac:dyDescent="0.25">
      <c r="D27" s="4" t="s">
        <v>4</v>
      </c>
      <c r="E27" s="4" t="s">
        <v>14</v>
      </c>
      <c r="F27" s="4" t="s">
        <v>26</v>
      </c>
      <c r="G27" s="4" t="s">
        <v>25</v>
      </c>
    </row>
    <row r="28" spans="4:7" x14ac:dyDescent="0.25">
      <c r="D28" s="4" t="s">
        <v>4</v>
      </c>
      <c r="E28" s="4" t="s">
        <v>19</v>
      </c>
      <c r="F28" s="4" t="s">
        <v>26</v>
      </c>
      <c r="G28" s="4" t="s">
        <v>25</v>
      </c>
    </row>
    <row r="29" spans="4:7" x14ac:dyDescent="0.25">
      <c r="D29" s="4" t="s">
        <v>8</v>
      </c>
      <c r="E29" s="4" t="s">
        <v>19</v>
      </c>
      <c r="F29" s="4" t="s">
        <v>26</v>
      </c>
      <c r="G29" s="4" t="s">
        <v>25</v>
      </c>
    </row>
    <row r="30" spans="4:7" x14ac:dyDescent="0.25">
      <c r="D30" s="4" t="s">
        <v>8</v>
      </c>
      <c r="E30" s="4" t="s">
        <v>19</v>
      </c>
      <c r="F30" s="4" t="s">
        <v>25</v>
      </c>
      <c r="G30" s="4" t="s">
        <v>25</v>
      </c>
    </row>
    <row r="31" spans="4:7" x14ac:dyDescent="0.25">
      <c r="D31" s="4" t="s">
        <v>8</v>
      </c>
      <c r="E31" s="4" t="s">
        <v>13</v>
      </c>
      <c r="F31" s="4" t="s">
        <v>25</v>
      </c>
      <c r="G31" s="4" t="s">
        <v>26</v>
      </c>
    </row>
    <row r="32" spans="4:7" x14ac:dyDescent="0.25">
      <c r="D32" s="4" t="s">
        <v>1</v>
      </c>
      <c r="E32" s="4" t="s">
        <v>16</v>
      </c>
      <c r="F32" s="4" t="s">
        <v>25</v>
      </c>
      <c r="G32" s="4" t="s">
        <v>26</v>
      </c>
    </row>
    <row r="33" spans="4:7" x14ac:dyDescent="0.25">
      <c r="D33" s="4" t="s">
        <v>10</v>
      </c>
      <c r="E33" s="4" t="s">
        <v>13</v>
      </c>
      <c r="F33" s="4" t="s">
        <v>26</v>
      </c>
      <c r="G33" s="4" t="s">
        <v>25</v>
      </c>
    </row>
    <row r="34" spans="4:7" x14ac:dyDescent="0.25">
      <c r="D34" s="4" t="s">
        <v>10</v>
      </c>
      <c r="E34" s="4" t="s">
        <v>15</v>
      </c>
      <c r="F34" s="4" t="s">
        <v>26</v>
      </c>
      <c r="G34" s="4" t="s">
        <v>25</v>
      </c>
    </row>
    <row r="35" spans="4:7" x14ac:dyDescent="0.25">
      <c r="D35" s="4" t="s">
        <v>3</v>
      </c>
      <c r="E35" s="4" t="s">
        <v>20</v>
      </c>
      <c r="F35" s="4" t="s">
        <v>26</v>
      </c>
      <c r="G35" s="4" t="s">
        <v>25</v>
      </c>
    </row>
    <row r="36" spans="4:7" x14ac:dyDescent="0.25">
      <c r="D36" s="4" t="s">
        <v>1</v>
      </c>
      <c r="E36" s="4" t="s">
        <v>16</v>
      </c>
      <c r="F36" s="4" t="s">
        <v>25</v>
      </c>
      <c r="G36" s="4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ShowForm">
          <controlPr defaultSize="0" autoLine="0" r:id="rId5">
            <anchor moveWithCells="1">
              <from>
                <xdr:col>7</xdr:col>
                <xdr:colOff>180975</xdr:colOff>
                <xdr:row>0</xdr:row>
                <xdr:rowOff>85725</xdr:rowOff>
              </from>
              <to>
                <xdr:col>8</xdr:col>
                <xdr:colOff>1428750</xdr:colOff>
                <xdr:row>3</xdr:row>
                <xdr:rowOff>142875</xdr:rowOff>
              </to>
            </anchor>
          </controlPr>
        </control>
      </mc:Choice>
      <mc:Fallback>
        <control shapeId="1025" r:id="rId4" name="btnShow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0878B-1A74-4E64-A421-16F619795B62}">
  <sheetPr codeName="Planilha3"/>
  <dimension ref="A1:M31"/>
  <sheetViews>
    <sheetView topLeftCell="C1" workbookViewId="0">
      <selection activeCell="D24" sqref="D24"/>
    </sheetView>
  </sheetViews>
  <sheetFormatPr defaultRowHeight="15" x14ac:dyDescent="0.25"/>
  <cols>
    <col min="1" max="1" width="19" customWidth="1"/>
    <col min="2" max="2" width="23.28515625" customWidth="1"/>
    <col min="3" max="3" width="28.140625" customWidth="1"/>
    <col min="4" max="4" width="27.85546875" customWidth="1"/>
    <col min="5" max="5" width="37" customWidth="1"/>
    <col min="6" max="6" width="18.28515625" customWidth="1"/>
    <col min="7" max="7" width="4.42578125" customWidth="1"/>
    <col min="8" max="8" width="27.85546875" customWidth="1"/>
    <col min="9" max="9" width="19.140625" customWidth="1"/>
    <col min="11" max="11" width="22.42578125" customWidth="1"/>
    <col min="12" max="12" width="12.28515625" customWidth="1"/>
    <col min="13" max="13" width="13" customWidth="1"/>
  </cols>
  <sheetData>
    <row r="1" spans="1:13" ht="15.75" x14ac:dyDescent="0.25">
      <c r="B1" s="8" t="s">
        <v>28</v>
      </c>
      <c r="C1" s="4"/>
    </row>
    <row r="2" spans="1:13" ht="15.75" x14ac:dyDescent="0.25">
      <c r="B2" s="9" t="s">
        <v>29</v>
      </c>
      <c r="E2" s="18" t="s">
        <v>41</v>
      </c>
      <c r="H2" s="21" t="s">
        <v>43</v>
      </c>
      <c r="I2" s="21" t="s">
        <v>44</v>
      </c>
      <c r="K2" s="24" t="s">
        <v>45</v>
      </c>
      <c r="L2" s="24" t="s">
        <v>31</v>
      </c>
      <c r="M2" s="24" t="s">
        <v>40</v>
      </c>
    </row>
    <row r="3" spans="1:13" ht="15.75" x14ac:dyDescent="0.25">
      <c r="A3" s="4" t="s">
        <v>30</v>
      </c>
      <c r="B3" s="10" t="str" cm="1">
        <f t="array" ref="B3">INDEX(Dados!A2:A11,B4)</f>
        <v>Ninjas in Pyjamas</v>
      </c>
      <c r="D3" s="4" t="s">
        <v>30</v>
      </c>
      <c r="E3" s="17" t="str" cm="1">
        <f t="array" ref="E3">INDEX(Dados!B2:B10,Auxiliar!E4)</f>
        <v>Fronteira</v>
      </c>
      <c r="G3" s="22"/>
      <c r="H3" s="14" t="s">
        <v>12</v>
      </c>
      <c r="I3" s="10">
        <f>COUNTIF(Dados!$E:$E,Auxiliar!H3)</f>
        <v>5</v>
      </c>
      <c r="K3" s="3" t="s">
        <v>1</v>
      </c>
      <c r="L3" s="10">
        <f>COUNTIFS(Dados!$D:$D,Dados!A2,Dados!$F:$F,"Sim")</f>
        <v>6</v>
      </c>
      <c r="M3" s="10">
        <f>COUNTIFS(Dados!$D:$D,Dados!A2,Dados!$G:$G,"Sim")</f>
        <v>0</v>
      </c>
    </row>
    <row r="4" spans="1:13" ht="15.75" x14ac:dyDescent="0.25">
      <c r="A4" s="4" t="s">
        <v>33</v>
      </c>
      <c r="B4" s="10">
        <v>8</v>
      </c>
      <c r="D4" s="4" t="s">
        <v>33</v>
      </c>
      <c r="E4" s="17">
        <v>9</v>
      </c>
      <c r="G4" s="22"/>
      <c r="H4" s="14" t="s">
        <v>13</v>
      </c>
      <c r="I4" s="10">
        <f>COUNTIF(Dados!$E:$E,Auxiliar!H4)</f>
        <v>3</v>
      </c>
      <c r="K4" s="3" t="s">
        <v>2</v>
      </c>
      <c r="L4" s="10">
        <f>COUNTIFS(Dados!$D:$D,Dados!A3,Dados!$F:$F,"Sim")</f>
        <v>2</v>
      </c>
      <c r="M4" s="10">
        <f>COUNTIFS(Dados!$D:$D,Dados!A3,Dados!$G:$G,"Sim")</f>
        <v>1</v>
      </c>
    </row>
    <row r="5" spans="1:13" ht="15.75" x14ac:dyDescent="0.25">
      <c r="A5" s="4" t="s">
        <v>32</v>
      </c>
      <c r="B5" s="10">
        <f>COUNTIFS(Dados!D:D,B3,Dados!F:F,"Sim")</f>
        <v>2</v>
      </c>
      <c r="D5" s="4" t="s">
        <v>32</v>
      </c>
      <c r="E5" s="17">
        <f>VLOOKUP(E3,B22:F31,3,FALSE)</f>
        <v>1</v>
      </c>
      <c r="G5" s="22"/>
      <c r="H5" s="14" t="s">
        <v>20</v>
      </c>
      <c r="I5" s="10">
        <f>COUNTIF(Dados!$E:$E,Auxiliar!H5)</f>
        <v>6</v>
      </c>
      <c r="K5" s="3" t="s">
        <v>3</v>
      </c>
      <c r="L5" s="10">
        <f>COUNTIFS(Dados!$D:$D,Dados!A4,Dados!$F:$F,"Sim")</f>
        <v>2</v>
      </c>
      <c r="M5" s="10">
        <f>COUNTIFS(Dados!$D:$D,Dados!A4,Dados!$G:$G,"Sim")</f>
        <v>2</v>
      </c>
    </row>
    <row r="6" spans="1:13" ht="15.75" x14ac:dyDescent="0.25">
      <c r="A6" s="4" t="s">
        <v>36</v>
      </c>
      <c r="B6" s="10">
        <f>COUNTIFS(Dados!D:D,B3,Dados!F:F,"Não")</f>
        <v>1</v>
      </c>
      <c r="D6" s="4" t="s">
        <v>36</v>
      </c>
      <c r="E6" s="17">
        <f>VLOOKUP(E3,B22:F31,4,FALSE)</f>
        <v>1</v>
      </c>
      <c r="G6" s="22"/>
      <c r="H6" s="14" t="s">
        <v>14</v>
      </c>
      <c r="I6" s="10">
        <f>COUNTIF(Dados!$E:$E,Auxiliar!H6)</f>
        <v>4</v>
      </c>
      <c r="K6" s="3" t="s">
        <v>4</v>
      </c>
      <c r="L6" s="10">
        <f>COUNTIFS(Dados!$D:$D,Dados!A5,Dados!$F:$F,"Sim")</f>
        <v>2</v>
      </c>
      <c r="M6" s="10">
        <f>COUNTIFS(Dados!$D:$D,Dados!A5,Dados!$G:$G,"Sim")</f>
        <v>4</v>
      </c>
    </row>
    <row r="7" spans="1:13" ht="15.75" x14ac:dyDescent="0.25">
      <c r="A7" s="4" t="s">
        <v>35</v>
      </c>
      <c r="B7" s="11">
        <f>COUNTIFS(Dados!D:D,B3,Dados!G:G,"Sim")</f>
        <v>2</v>
      </c>
      <c r="D7" s="4" t="s">
        <v>35</v>
      </c>
      <c r="E7" s="17">
        <f>VLOOKUP(E3,B22:F31,5,FALSE)</f>
        <v>2</v>
      </c>
      <c r="G7" s="22"/>
      <c r="H7" s="14" t="s">
        <v>15</v>
      </c>
      <c r="I7" s="10">
        <f>COUNTIF(Dados!$E:$E,Auxiliar!H7)</f>
        <v>3</v>
      </c>
      <c r="K7" s="3" t="s">
        <v>5</v>
      </c>
      <c r="L7" s="10">
        <f>COUNTIFS(Dados!$D:$D,Dados!A6,Dados!$F:$F,"Sim")</f>
        <v>1</v>
      </c>
      <c r="M7" s="10">
        <f>COUNTIFS(Dados!$D:$D,Dados!A6,Dados!$G:$G,"Sim")</f>
        <v>0</v>
      </c>
    </row>
    <row r="8" spans="1:13" ht="15.75" x14ac:dyDescent="0.25">
      <c r="D8" s="4" t="s">
        <v>42</v>
      </c>
      <c r="E8" s="17">
        <f>VLOOKUP(E3,B22:F31,2,FALSE)</f>
        <v>2</v>
      </c>
      <c r="G8" s="22"/>
      <c r="H8" s="14" t="s">
        <v>16</v>
      </c>
      <c r="I8" s="10">
        <f>COUNTIF(Dados!$E:$E,Auxiliar!H8)</f>
        <v>2</v>
      </c>
      <c r="K8" s="3" t="s">
        <v>6</v>
      </c>
      <c r="L8" s="10">
        <f>COUNTIFS(Dados!$D:$D,Dados!A7,Dados!$F:$F,"Sim")</f>
        <v>2</v>
      </c>
      <c r="M8" s="10">
        <f>COUNTIFS(Dados!$D:$D,Dados!A7,Dados!$G:$G,"Sim")</f>
        <v>3</v>
      </c>
    </row>
    <row r="9" spans="1:13" ht="15.75" x14ac:dyDescent="0.25">
      <c r="G9" s="22"/>
      <c r="H9" s="14" t="s">
        <v>17</v>
      </c>
      <c r="I9" s="10">
        <f>COUNTIF(Dados!$E:$E,Auxiliar!H9)</f>
        <v>4</v>
      </c>
      <c r="K9" s="3" t="s">
        <v>7</v>
      </c>
      <c r="L9" s="10">
        <f>COUNTIFS(Dados!$D:$D,Dados!A8,Dados!$F:$F,"Sim")</f>
        <v>2</v>
      </c>
      <c r="M9" s="10">
        <f>COUNTIFS(Dados!$D:$D,Dados!A8,Dados!$G:$G,"Sim")</f>
        <v>0</v>
      </c>
    </row>
    <row r="10" spans="1:13" ht="15.75" x14ac:dyDescent="0.25">
      <c r="G10" s="22"/>
      <c r="H10" s="14" t="s">
        <v>18</v>
      </c>
      <c r="I10" s="10">
        <f>COUNTIF(Dados!$E:$E,Auxiliar!H10)</f>
        <v>2</v>
      </c>
      <c r="K10" s="3" t="s">
        <v>8</v>
      </c>
      <c r="L10" s="10">
        <f>COUNTIFS(Dados!$D:$D,Dados!A9,Dados!$F:$F,"Sim")</f>
        <v>2</v>
      </c>
      <c r="M10" s="10">
        <f>COUNTIFS(Dados!$D:$D,Dados!A9,Dados!$G:$G,"Sim")</f>
        <v>2</v>
      </c>
    </row>
    <row r="11" spans="1:13" ht="15.75" x14ac:dyDescent="0.25">
      <c r="G11" s="22"/>
      <c r="H11" s="14" t="s">
        <v>19</v>
      </c>
      <c r="I11" s="10">
        <f>COUNTIF(Dados!$E:$E,Auxiliar!H11)</f>
        <v>6</v>
      </c>
      <c r="K11" s="3" t="s">
        <v>9</v>
      </c>
      <c r="L11" s="10">
        <f>COUNTIFS(Dados!$D:$D,Dados!A10,Dados!$F:$F,"Sim")</f>
        <v>3</v>
      </c>
      <c r="M11" s="10">
        <f>COUNTIFS(Dados!$D:$D,Dados!A10,Dados!$G:$G,"Sim")</f>
        <v>3</v>
      </c>
    </row>
    <row r="12" spans="1:13" ht="15.75" x14ac:dyDescent="0.25">
      <c r="K12" s="3" t="s">
        <v>10</v>
      </c>
      <c r="L12" s="10">
        <f>COUNTIFS(Dados!$D:$D,Dados!A11,Dados!$F:$F,"Sim")</f>
        <v>0</v>
      </c>
      <c r="M12" s="10">
        <f>COUNTIFS(Dados!$D:$D,Dados!A11,Dados!$G:$G,"Sim")</f>
        <v>2</v>
      </c>
    </row>
    <row r="14" spans="1:13" ht="15.75" x14ac:dyDescent="0.25">
      <c r="H14" s="4"/>
    </row>
    <row r="22" spans="2:6" ht="15.75" x14ac:dyDescent="0.25">
      <c r="B22" s="9" t="s">
        <v>38</v>
      </c>
      <c r="C22" s="9" t="s">
        <v>39</v>
      </c>
      <c r="D22" s="9" t="s">
        <v>31</v>
      </c>
      <c r="E22" s="16" t="s">
        <v>40</v>
      </c>
      <c r="F22" s="9" t="s">
        <v>34</v>
      </c>
    </row>
    <row r="23" spans="2:6" ht="15.75" x14ac:dyDescent="0.25">
      <c r="B23" s="14" t="s">
        <v>12</v>
      </c>
      <c r="C23" s="15">
        <f>COUNTIFS(Dados!$D:$D,$B$3,Dados!$E:$E,B23)</f>
        <v>0</v>
      </c>
      <c r="D23" s="10">
        <f>COUNTIFS(Dados!$D:$D,Auxiliar!$B$3,Dados!$E:$E,Auxiliar!B23,Dados!$F:$F,"Sim")</f>
        <v>0</v>
      </c>
      <c r="E23" s="10">
        <f>COUNTIFS(Dados!$D:$D,Auxiliar!$B$3,Dados!$E:$E,Auxiliar!B23,Dados!$F:$F,"Não")</f>
        <v>0</v>
      </c>
      <c r="F23" s="10">
        <f>COUNTIFS(Dados!$D:$D,Auxiliar!$B$3,Dados!$E:$E,Auxiliar!B23,Dados!$G:$G,"Sim")</f>
        <v>0</v>
      </c>
    </row>
    <row r="24" spans="2:6" ht="15.75" x14ac:dyDescent="0.25">
      <c r="B24" s="14" t="s">
        <v>13</v>
      </c>
      <c r="C24" s="15">
        <f>COUNTIFS(Dados!$D:$D,$B$3,Dados!$E:$E,B24)</f>
        <v>1</v>
      </c>
      <c r="D24" s="10">
        <f>COUNTIFS(Dados!$D:$D,Auxiliar!$B$3,Dados!$E:$E,Auxiliar!B24,Dados!$F:$F,"Sim")</f>
        <v>1</v>
      </c>
      <c r="E24" s="10">
        <f>COUNTIFS(Dados!$D:$D,Auxiliar!$B$3,Dados!$E:$E,Auxiliar!B24,Dados!$F:$F,"Não")</f>
        <v>0</v>
      </c>
      <c r="F24" s="10">
        <f>COUNTIFS(Dados!$D:$D,Auxiliar!$B$3,Dados!$E:$E,Auxiliar!B24,Dados!$G:$G,"Sim")</f>
        <v>0</v>
      </c>
    </row>
    <row r="25" spans="2:6" ht="15.75" x14ac:dyDescent="0.25">
      <c r="B25" s="14" t="s">
        <v>20</v>
      </c>
      <c r="C25" s="15">
        <f>COUNTIFS(Dados!$D:$D,$B$3,Dados!$E:$E,B25)</f>
        <v>0</v>
      </c>
      <c r="D25" s="10">
        <f>COUNTIFS(Dados!$D:$D,Auxiliar!$B$3,Dados!$E:$E,Auxiliar!B25,Dados!$F:$F,"Sim")</f>
        <v>0</v>
      </c>
      <c r="E25" s="10">
        <f>COUNTIFS(Dados!$D:$D,Auxiliar!$B$3,Dados!$E:$E,Auxiliar!B25,Dados!$F:$F,"Não")</f>
        <v>0</v>
      </c>
      <c r="F25" s="10">
        <f>COUNTIFS(Dados!$D:$D,Auxiliar!$B$3,Dados!$E:$E,Auxiliar!B25,Dados!$G:$G,"Sim")</f>
        <v>0</v>
      </c>
    </row>
    <row r="26" spans="2:6" ht="15.75" x14ac:dyDescent="0.25">
      <c r="B26" s="14" t="s">
        <v>14</v>
      </c>
      <c r="C26" s="15">
        <f>COUNTIFS(Dados!$D:$D,$B$3,Dados!$E:$E,B26)</f>
        <v>0</v>
      </c>
      <c r="D26" s="10">
        <f>COUNTIFS(Dados!$D:$D,Auxiliar!$B$3,Dados!$E:$E,Auxiliar!B26,Dados!$F:$F,"Sim")</f>
        <v>0</v>
      </c>
      <c r="E26" s="10">
        <f>COUNTIFS(Dados!$D:$D,Auxiliar!$B$3,Dados!$E:$E,Auxiliar!B26,Dados!$F:$F,"Não")</f>
        <v>0</v>
      </c>
      <c r="F26" s="10">
        <f>COUNTIFS(Dados!$D:$D,Auxiliar!$B$3,Dados!$E:$E,Auxiliar!B26,Dados!$G:$G,"Sim")</f>
        <v>0</v>
      </c>
    </row>
    <row r="27" spans="2:6" ht="15.75" x14ac:dyDescent="0.25">
      <c r="B27" s="14" t="s">
        <v>15</v>
      </c>
      <c r="C27" s="15">
        <f>COUNTIFS(Dados!$D:$D,$B$3,Dados!$E:$E,B27)</f>
        <v>0</v>
      </c>
      <c r="D27" s="10">
        <f>COUNTIFS(Dados!$D:$D,Auxiliar!$B$3,Dados!$E:$E,Auxiliar!B27,Dados!$F:$F,"Sim")</f>
        <v>0</v>
      </c>
      <c r="E27" s="10">
        <f>COUNTIFS(Dados!$D:$D,Auxiliar!$B$3,Dados!$E:$E,Auxiliar!B27,Dados!$F:$F,"Não")</f>
        <v>0</v>
      </c>
      <c r="F27" s="10">
        <f>COUNTIFS(Dados!$D:$D,Auxiliar!$B$3,Dados!$E:$E,Auxiliar!B27,Dados!$G:$G,"Sim")</f>
        <v>0</v>
      </c>
    </row>
    <row r="28" spans="2:6" ht="15.75" x14ac:dyDescent="0.25">
      <c r="B28" s="14" t="s">
        <v>16</v>
      </c>
      <c r="C28" s="15">
        <f>COUNTIFS(Dados!$D:$D,$B$3,Dados!$E:$E,B28)</f>
        <v>0</v>
      </c>
      <c r="D28" s="10">
        <f>COUNTIFS(Dados!$D:$D,Auxiliar!$B$3,Dados!$E:$E,Auxiliar!B28,Dados!$F:$F,"Sim")</f>
        <v>0</v>
      </c>
      <c r="E28" s="10">
        <f>COUNTIFS(Dados!$D:$D,Auxiliar!$B$3,Dados!$E:$E,Auxiliar!B28,Dados!$F:$F,"Não")</f>
        <v>0</v>
      </c>
      <c r="F28" s="10">
        <f>COUNTIFS(Dados!$D:$D,Auxiliar!$B$3,Dados!$E:$E,Auxiliar!B28,Dados!$G:$G,"Sim")</f>
        <v>0</v>
      </c>
    </row>
    <row r="29" spans="2:6" ht="15.75" x14ac:dyDescent="0.25">
      <c r="B29" s="14" t="s">
        <v>17</v>
      </c>
      <c r="C29" s="15">
        <f>COUNTIFS(Dados!$D:$D,$B$3,Dados!$E:$E,B29)</f>
        <v>0</v>
      </c>
      <c r="D29" s="10">
        <f>COUNTIFS(Dados!$D:$D,Auxiliar!$B$3,Dados!$E:$E,Auxiliar!B29,Dados!$F:$F,"Sim")</f>
        <v>0</v>
      </c>
      <c r="E29" s="10">
        <f>COUNTIFS(Dados!$D:$D,Auxiliar!$B$3,Dados!$E:$E,Auxiliar!B29,Dados!$F:$F,"Não")</f>
        <v>0</v>
      </c>
      <c r="F29" s="10">
        <f>COUNTIFS(Dados!$D:$D,Auxiliar!$B$3,Dados!$E:$E,Auxiliar!B29,Dados!$G:$G,"Sim")</f>
        <v>0</v>
      </c>
    </row>
    <row r="30" spans="2:6" ht="15.75" x14ac:dyDescent="0.25">
      <c r="B30" s="14" t="s">
        <v>18</v>
      </c>
      <c r="C30" s="15">
        <f>COUNTIFS(Dados!$D:$D,$B$3,Dados!$E:$E,B30)</f>
        <v>0</v>
      </c>
      <c r="D30" s="10">
        <f>COUNTIFS(Dados!$D:$D,Auxiliar!$B$3,Dados!$E:$E,Auxiliar!B30,Dados!$F:$F,"Sim")</f>
        <v>0</v>
      </c>
      <c r="E30" s="10">
        <f>COUNTIFS(Dados!$D:$D,Auxiliar!$B$3,Dados!$E:$E,Auxiliar!B30,Dados!$F:$F,"Não")</f>
        <v>0</v>
      </c>
      <c r="F30" s="10">
        <f>COUNTIFS(Dados!$D:$D,Auxiliar!$B$3,Dados!$E:$E,Auxiliar!B30,Dados!$G:$G,"Sim")</f>
        <v>0</v>
      </c>
    </row>
    <row r="31" spans="2:6" ht="15.75" x14ac:dyDescent="0.25">
      <c r="B31" s="14" t="s">
        <v>19</v>
      </c>
      <c r="C31" s="15">
        <f>COUNTIFS(Dados!$D:$D,$B$3,Dados!$E:$E,B31)</f>
        <v>2</v>
      </c>
      <c r="D31" s="10">
        <f>COUNTIFS(Dados!$D:$D,Auxiliar!$B$3,Dados!$E:$E,Auxiliar!B31,Dados!$F:$F,"Sim")</f>
        <v>1</v>
      </c>
      <c r="E31" s="10">
        <f>COUNTIFS(Dados!$D:$D,Auxiliar!$B$3,Dados!$E:$E,Auxiliar!B31,Dados!$F:$F,"Não")</f>
        <v>1</v>
      </c>
      <c r="F31" s="10">
        <f>COUNTIFS(Dados!$D:$D,Auxiliar!$B$3,Dados!$E:$E,Auxiliar!B31,Dados!$G:$G,"Sim")</f>
        <v>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546E0-973D-44EB-BCF8-B883BEADB766}">
  <sheetPr codeName="Planilha2"/>
  <dimension ref="A1:X37"/>
  <sheetViews>
    <sheetView tabSelected="1" zoomScale="85" zoomScaleNormal="85" workbookViewId="0">
      <selection activeCell="D1" sqref="D1"/>
    </sheetView>
  </sheetViews>
  <sheetFormatPr defaultRowHeight="15" x14ac:dyDescent="0.25"/>
  <cols>
    <col min="1" max="1" width="94.85546875" customWidth="1"/>
    <col min="2" max="2" width="7.28515625" hidden="1" customWidth="1"/>
    <col min="3" max="3" width="3.28515625" hidden="1" customWidth="1"/>
    <col min="4" max="4" width="51.7109375" customWidth="1"/>
    <col min="5" max="5" width="35.5703125" customWidth="1"/>
  </cols>
  <sheetData>
    <row r="1" spans="1:24" ht="36.75" customHeight="1" x14ac:dyDescent="0.25">
      <c r="A1" s="7" t="s">
        <v>27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26"/>
      <c r="R1" s="26"/>
      <c r="S1" s="26"/>
      <c r="T1" s="26"/>
      <c r="U1" s="26"/>
      <c r="V1" s="26"/>
      <c r="W1" s="26"/>
      <c r="X1" s="26"/>
    </row>
    <row r="2" spans="1:24" ht="15.75" x14ac:dyDescent="0.25">
      <c r="A2" s="12" t="s">
        <v>37</v>
      </c>
      <c r="B2" s="20"/>
      <c r="C2" s="20"/>
      <c r="D2" s="19" t="str">
        <f>Auxiliar!E3 &amp; " Foi Jogado " &amp; Auxiliar!E8 &amp; "  Vez(es) pela Equipe"</f>
        <v>Fronteira Foi Jogado 2  Vez(es) pela Equipe</v>
      </c>
      <c r="E2" s="20"/>
      <c r="F2" s="20"/>
      <c r="G2" s="13"/>
      <c r="H2" s="13"/>
      <c r="I2" s="13"/>
      <c r="J2" s="13"/>
      <c r="K2" s="13"/>
      <c r="L2" s="13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</row>
    <row r="3" spans="1:24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</row>
    <row r="4" spans="1:24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</row>
    <row r="5" spans="1:24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</row>
    <row r="6" spans="1:24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</row>
    <row r="7" spans="1:24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</row>
    <row r="8" spans="1:24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</row>
    <row r="9" spans="1:24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</row>
    <row r="10" spans="1:24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</row>
    <row r="11" spans="1:24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</row>
    <row r="12" spans="1:24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</row>
    <row r="13" spans="1:24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</row>
    <row r="14" spans="1:24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</row>
    <row r="15" spans="1:24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</row>
    <row r="16" spans="1:24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</row>
    <row r="17" spans="1:24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</row>
    <row r="18" spans="1:24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</row>
    <row r="19" spans="1:24" ht="15.75" x14ac:dyDescent="0.25">
      <c r="A19" s="13"/>
      <c r="B19" s="13"/>
      <c r="C19" s="13"/>
      <c r="D19" s="23"/>
      <c r="E19" s="13"/>
      <c r="F19" s="13"/>
      <c r="G19" s="13"/>
      <c r="H19" s="13"/>
      <c r="I19" s="13"/>
      <c r="J19" s="13"/>
      <c r="K19" s="13"/>
      <c r="L19" s="13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</row>
    <row r="20" spans="1:24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</row>
    <row r="21" spans="1:24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</row>
    <row r="22" spans="1:24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</row>
    <row r="23" spans="1:24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</row>
    <row r="24" spans="1:24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</row>
    <row r="25" spans="1:24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</row>
    <row r="26" spans="1:24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</row>
    <row r="27" spans="1:24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</row>
    <row r="28" spans="1:24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</row>
    <row r="29" spans="1:24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</row>
    <row r="30" spans="1:24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</row>
    <row r="31" spans="1:24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</row>
    <row r="32" spans="1:24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</row>
    <row r="33" spans="1:24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</row>
    <row r="34" spans="1:24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</row>
    <row r="35" spans="1:24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</row>
    <row r="36" spans="1:24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</row>
    <row r="37" spans="1:24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Drop Down 2">
              <controlPr defaultSize="0" autoLine="0" autoPict="0">
                <anchor moveWithCells="1">
                  <from>
                    <xdr:col>7</xdr:col>
                    <xdr:colOff>38100</xdr:colOff>
                    <xdr:row>0</xdr:row>
                    <xdr:rowOff>28575</xdr:rowOff>
                  </from>
                  <to>
                    <xdr:col>11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Drop Down 6">
              <controlPr defaultSize="0" autoLine="0" autoPict="0">
                <anchor moveWithCells="1">
                  <from>
                    <xdr:col>4</xdr:col>
                    <xdr:colOff>752475</xdr:colOff>
                    <xdr:row>0</xdr:row>
                    <xdr:rowOff>28575</xdr:rowOff>
                  </from>
                  <to>
                    <xdr:col>7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Auxiliar</vt:lpstr>
      <vt:lpstr>Dashboard</vt:lpstr>
      <vt:lpstr>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KAIQUE DA SILVA SOUSA</dc:creator>
  <cp:lastModifiedBy>KAIQUE DA SILVA SOUSA</cp:lastModifiedBy>
  <dcterms:created xsi:type="dcterms:W3CDTF">2024-06-06T00:16:34Z</dcterms:created>
  <dcterms:modified xsi:type="dcterms:W3CDTF">2024-06-06T20:39:03Z</dcterms:modified>
</cp:coreProperties>
</file>